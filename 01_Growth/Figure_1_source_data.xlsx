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1_Growth/Figure_1_Specific_Growth_Rate/"/>
    </mc:Choice>
  </mc:AlternateContent>
  <xr:revisionPtr revIDLastSave="153" documentId="11_15852447413C9D415FC2E99E2F15072EBC13F74B" xr6:coauthVersionLast="47" xr6:coauthVersionMax="47" xr10:uidLastSave="{93327BE5-9FD6-4083-B887-1B9856FCAC42}"/>
  <bookViews>
    <workbookView xWindow="-110" yWindow="-110" windowWidth="19420" windowHeight="10300" xr2:uid="{00000000-000D-0000-FFFF-FFFF00000000}"/>
  </bookViews>
  <sheets>
    <sheet name="Sheet 1" sheetId="7" r:id="rId1"/>
  </sheets>
  <definedNames>
    <definedName name="CIQWBGuid" hidden="1">"34f14363-2662-4c08-836f-2236a38e3be9"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7" l="1"/>
  <c r="J43" i="7" s="1"/>
  <c r="I30" i="7"/>
  <c r="I43" i="7" s="1"/>
  <c r="H30" i="7"/>
  <c r="H43" i="7" s="1"/>
  <c r="G30" i="7"/>
  <c r="G43" i="7" s="1"/>
  <c r="F30" i="7"/>
  <c r="F43" i="7" s="1"/>
  <c r="E30" i="7"/>
  <c r="E43" i="7" s="1"/>
  <c r="D30" i="7"/>
  <c r="D43" i="7" s="1"/>
  <c r="C30" i="7"/>
  <c r="C43" i="7" s="1"/>
  <c r="J29" i="7"/>
  <c r="J42" i="7" s="1"/>
  <c r="I29" i="7"/>
  <c r="I42" i="7" s="1"/>
  <c r="H29" i="7"/>
  <c r="H42" i="7" s="1"/>
  <c r="G29" i="7"/>
  <c r="G42" i="7" s="1"/>
  <c r="F29" i="7"/>
  <c r="F42" i="7" s="1"/>
  <c r="E29" i="7"/>
  <c r="E42" i="7" s="1"/>
  <c r="D29" i="7"/>
  <c r="D42" i="7" s="1"/>
  <c r="C29" i="7"/>
  <c r="C42" i="7" s="1"/>
  <c r="J28" i="7"/>
  <c r="J41" i="7" s="1"/>
  <c r="I28" i="7"/>
  <c r="I41" i="7" s="1"/>
  <c r="H28" i="7"/>
  <c r="H41" i="7" s="1"/>
  <c r="G28" i="7"/>
  <c r="G41" i="7" s="1"/>
  <c r="F28" i="7"/>
  <c r="F41" i="7" s="1"/>
  <c r="E28" i="7"/>
  <c r="E41" i="7" s="1"/>
  <c r="D28" i="7"/>
  <c r="D41" i="7" s="1"/>
  <c r="C28" i="7"/>
  <c r="C41" i="7" s="1"/>
  <c r="J27" i="7"/>
  <c r="J40" i="7" s="1"/>
  <c r="I27" i="7"/>
  <c r="I40" i="7" s="1"/>
  <c r="H27" i="7"/>
  <c r="H40" i="7" s="1"/>
  <c r="G27" i="7"/>
  <c r="G40" i="7" s="1"/>
  <c r="F27" i="7"/>
  <c r="F40" i="7" s="1"/>
  <c r="E27" i="7"/>
  <c r="E40" i="7" s="1"/>
  <c r="D27" i="7"/>
  <c r="D40" i="7" s="1"/>
  <c r="C27" i="7"/>
  <c r="C40" i="7" s="1"/>
  <c r="J26" i="7"/>
  <c r="J39" i="7" s="1"/>
  <c r="I26" i="7"/>
  <c r="I39" i="7" s="1"/>
  <c r="H26" i="7"/>
  <c r="H39" i="7" s="1"/>
  <c r="G26" i="7"/>
  <c r="G39" i="7" s="1"/>
  <c r="F26" i="7"/>
  <c r="F39" i="7" s="1"/>
  <c r="E26" i="7"/>
  <c r="E39" i="7" s="1"/>
  <c r="D26" i="7"/>
  <c r="D39" i="7" s="1"/>
  <c r="C26" i="7"/>
  <c r="C39" i="7" s="1"/>
  <c r="J25" i="7"/>
  <c r="J38" i="7" s="1"/>
  <c r="I25" i="7"/>
  <c r="I38" i="7" s="1"/>
  <c r="H25" i="7"/>
  <c r="H38" i="7" s="1"/>
  <c r="G25" i="7"/>
  <c r="G38" i="7" s="1"/>
  <c r="F25" i="7"/>
  <c r="F38" i="7" s="1"/>
  <c r="E25" i="7"/>
  <c r="E38" i="7" s="1"/>
  <c r="D25" i="7"/>
  <c r="D38" i="7" s="1"/>
  <c r="C25" i="7"/>
  <c r="C38" i="7" s="1"/>
  <c r="J24" i="7"/>
  <c r="J37" i="7" s="1"/>
  <c r="I24" i="7"/>
  <c r="I37" i="7" s="1"/>
  <c r="H24" i="7"/>
  <c r="H37" i="7" s="1"/>
  <c r="G24" i="7"/>
  <c r="G37" i="7" s="1"/>
  <c r="F24" i="7"/>
  <c r="F37" i="7" s="1"/>
  <c r="E24" i="7"/>
  <c r="E37" i="7" s="1"/>
  <c r="D24" i="7"/>
  <c r="D37" i="7" s="1"/>
  <c r="C24" i="7"/>
  <c r="C37" i="7" s="1"/>
  <c r="J23" i="7"/>
  <c r="J36" i="7" s="1"/>
  <c r="I23" i="7"/>
  <c r="I36" i="7" s="1"/>
  <c r="H23" i="7"/>
  <c r="H36" i="7" s="1"/>
  <c r="G23" i="7"/>
  <c r="G36" i="7" s="1"/>
  <c r="F23" i="7"/>
  <c r="F36" i="7" s="1"/>
  <c r="E23" i="7"/>
  <c r="E36" i="7" s="1"/>
  <c r="D23" i="7"/>
  <c r="D36" i="7" s="1"/>
  <c r="C23" i="7"/>
  <c r="C36" i="7" s="1"/>
  <c r="J22" i="7"/>
  <c r="J35" i="7" s="1"/>
  <c r="I22" i="7"/>
  <c r="I35" i="7" s="1"/>
  <c r="H22" i="7"/>
  <c r="H35" i="7" s="1"/>
  <c r="G22" i="7"/>
  <c r="G35" i="7" s="1"/>
  <c r="F22" i="7"/>
  <c r="F35" i="7" s="1"/>
  <c r="E22" i="7"/>
  <c r="E35" i="7" s="1"/>
  <c r="D22" i="7"/>
  <c r="D35" i="7" s="1"/>
  <c r="C22" i="7"/>
  <c r="C35" i="7" s="1"/>
  <c r="F50" i="7" l="1"/>
  <c r="F53" i="7"/>
  <c r="F56" i="7"/>
  <c r="C49" i="7"/>
  <c r="C52" i="7"/>
  <c r="C55" i="7"/>
  <c r="E50" i="7"/>
  <c r="E53" i="7"/>
  <c r="E56" i="7"/>
  <c r="D49" i="7"/>
  <c r="D52" i="7"/>
  <c r="D55" i="7"/>
  <c r="E52" i="7"/>
  <c r="F55" i="7"/>
  <c r="C48" i="7"/>
  <c r="C51" i="7"/>
  <c r="C54" i="7"/>
  <c r="F49" i="7"/>
  <c r="E49" i="7"/>
  <c r="E55" i="7"/>
  <c r="F52" i="7"/>
  <c r="D48" i="7"/>
  <c r="D51" i="7"/>
  <c r="D54" i="7"/>
  <c r="E48" i="7"/>
  <c r="E51" i="7"/>
  <c r="E54" i="7"/>
  <c r="F48" i="7"/>
  <c r="F51" i="7"/>
  <c r="F54" i="7"/>
  <c r="C50" i="7"/>
  <c r="C53" i="7"/>
  <c r="C56" i="7"/>
  <c r="D50" i="7"/>
  <c r="D53" i="7"/>
  <c r="D56" i="7"/>
  <c r="H52" i="7" l="1"/>
  <c r="H55" i="7"/>
  <c r="G52" i="7"/>
  <c r="G49" i="7"/>
  <c r="H49" i="7"/>
  <c r="H54" i="7"/>
  <c r="G54" i="7"/>
  <c r="G51" i="7"/>
  <c r="H51" i="7"/>
  <c r="H48" i="7"/>
  <c r="G48" i="7"/>
  <c r="H56" i="7"/>
  <c r="G56" i="7"/>
  <c r="H53" i="7"/>
  <c r="G53" i="7"/>
  <c r="G55" i="7"/>
  <c r="H50" i="7"/>
  <c r="G50" i="7"/>
  <c r="J49" i="7" l="1"/>
  <c r="J52" i="7"/>
  <c r="I52" i="7"/>
  <c r="J54" i="7"/>
  <c r="I54" i="7"/>
  <c r="J50" i="7"/>
  <c r="I50" i="7"/>
  <c r="I49" i="7"/>
  <c r="J56" i="7"/>
  <c r="I56" i="7"/>
  <c r="J48" i="7"/>
  <c r="I48" i="7"/>
  <c r="J51" i="7"/>
  <c r="I51" i="7"/>
  <c r="J55" i="7"/>
  <c r="I55" i="7"/>
  <c r="J53" i="7"/>
  <c r="I53" i="7"/>
</calcChain>
</file>

<file path=xl/sharedStrings.xml><?xml version="1.0" encoding="utf-8"?>
<sst xmlns="http://schemas.openxmlformats.org/spreadsheetml/2006/main" count="81" uniqueCount="35">
  <si>
    <t>Sample</t>
  </si>
  <si>
    <t>Control</t>
  </si>
  <si>
    <t>2.5 mg/L</t>
  </si>
  <si>
    <t>5 mg/L</t>
  </si>
  <si>
    <t>10 mg/L</t>
  </si>
  <si>
    <t>20 mg/L</t>
  </si>
  <si>
    <t>40 mg/L</t>
  </si>
  <si>
    <t>80 mg/L</t>
  </si>
  <si>
    <t>160 mg/L</t>
  </si>
  <si>
    <t>320 mg/L</t>
  </si>
  <si>
    <t>n=1</t>
  </si>
  <si>
    <t>n=2</t>
  </si>
  <si>
    <t>SD</t>
  </si>
  <si>
    <t>n=3</t>
  </si>
  <si>
    <t>n=4</t>
  </si>
  <si>
    <t>OD 600 at t = 2 h</t>
  </si>
  <si>
    <t>OD 600 t = 3 h</t>
  </si>
  <si>
    <t>Raw OD600 measurements</t>
  </si>
  <si>
    <t>OD600 - background at t = 3 h</t>
  </si>
  <si>
    <t>OD600 - background at t = 2 h</t>
  </si>
  <si>
    <t>Background corrected OD600</t>
  </si>
  <si>
    <t>ln(Background corrected OD600)at t = 2 h</t>
  </si>
  <si>
    <t>ln(Background corrected OD600) at t = 3 h</t>
  </si>
  <si>
    <t>ln(Background corrected OD600)</t>
  </si>
  <si>
    <t>Mean + SD</t>
  </si>
  <si>
    <t>Mean - SD</t>
  </si>
  <si>
    <t>µ = [ln(OD600, 3 h) − ln(OD600, 2 h)] / (3 − 2)</t>
  </si>
  <si>
    <t>Measurement: Specific growth rate of E. coli</t>
  </si>
  <si>
    <t>Biological replicates: n = 4 independent bacterial cultures per condition</t>
  </si>
  <si>
    <t>Growth-rate calculation window: 2 to 3 h</t>
  </si>
  <si>
    <t>Error bars in Figure 1: standard deviation</t>
  </si>
  <si>
    <t xml:space="preserve"> Figure 1</t>
  </si>
  <si>
    <r>
      <t>Units: h</t>
    </r>
    <r>
      <rPr>
        <vertAlign val="superscript"/>
        <sz val="11"/>
        <color theme="1"/>
        <rFont val="Calibri"/>
        <family val="2"/>
        <scheme val="minor"/>
      </rPr>
      <t>−1</t>
    </r>
  </si>
  <si>
    <r>
      <t>Specific growth rate, µ, h</t>
    </r>
    <r>
      <rPr>
        <b/>
        <vertAlign val="superscript"/>
        <sz val="11"/>
        <color theme="1"/>
        <rFont val="Calibri"/>
        <family val="2"/>
        <scheme val="minor"/>
      </rPr>
      <t>−1</t>
    </r>
  </si>
  <si>
    <t xml:space="preserve">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</si>
</sst>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/>
    <xf numFmtId="164" fontId="0" fillId="0" borderId="6" xfId="0" applyNumberFormat="1" applyBorder="1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4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6"/>
  <sheetViews>
    <sheetView tabSelected="1" topLeftCell="A11" zoomScale="55" zoomScaleNormal="55" workbookViewId="0">
      <selection activeCell="M37" sqref="M37"/>
    </sheetView>
  </sheetViews>
  <sheetFormatPr defaultColWidth="8.7265625" defaultRowHeight="14.5"/>
  <cols>
    <col min="1" max="1" width="16.54296875" customWidth="1"/>
    <col min="3" max="4" width="14"/>
    <col min="5" max="5" width="12.81640625"/>
    <col min="7" max="8" width="14"/>
    <col min="9" max="10" width="12.81640625"/>
    <col min="12" max="19" width="12.81640625"/>
  </cols>
  <sheetData>
    <row r="1" spans="1:10">
      <c r="A1" s="21" t="s">
        <v>31</v>
      </c>
    </row>
    <row r="2" spans="1:10">
      <c r="A2" s="21" t="s">
        <v>27</v>
      </c>
    </row>
    <row r="3" spans="1:10">
      <c r="A3" s="21" t="s">
        <v>28</v>
      </c>
    </row>
    <row r="4" spans="1:10">
      <c r="A4" s="21" t="s">
        <v>29</v>
      </c>
    </row>
    <row r="5" spans="1:10" ht="16.5">
      <c r="A5" s="21" t="s">
        <v>32</v>
      </c>
    </row>
    <row r="6" spans="1:10">
      <c r="A6" s="21" t="s">
        <v>30</v>
      </c>
    </row>
    <row r="8" spans="1:10">
      <c r="C8" s="18" t="s">
        <v>10</v>
      </c>
      <c r="D8" s="18" t="s">
        <v>11</v>
      </c>
      <c r="E8" s="18" t="s">
        <v>13</v>
      </c>
      <c r="F8" s="18" t="s">
        <v>14</v>
      </c>
      <c r="G8" s="18" t="s">
        <v>10</v>
      </c>
      <c r="H8" s="18" t="s">
        <v>11</v>
      </c>
      <c r="I8" s="18" t="s">
        <v>13</v>
      </c>
      <c r="J8" s="18" t="s">
        <v>14</v>
      </c>
    </row>
    <row r="9" spans="1:10" ht="29">
      <c r="A9" s="15" t="s">
        <v>17</v>
      </c>
      <c r="B9" s="16" t="s">
        <v>0</v>
      </c>
      <c r="C9" s="26" t="s">
        <v>15</v>
      </c>
      <c r="D9" s="27"/>
      <c r="E9" s="27"/>
      <c r="F9" s="28"/>
      <c r="G9" s="26" t="s">
        <v>16</v>
      </c>
      <c r="H9" s="27"/>
      <c r="I9" s="27"/>
      <c r="J9" s="28"/>
    </row>
    <row r="10" spans="1:10">
      <c r="B10" s="2" t="s">
        <v>1</v>
      </c>
      <c r="C10" s="10">
        <v>0.22800000000000001</v>
      </c>
      <c r="D10">
        <v>0.19800000000000001</v>
      </c>
      <c r="E10">
        <v>0.21</v>
      </c>
      <c r="F10" s="11">
        <v>0.20699999999999999</v>
      </c>
      <c r="G10" s="10">
        <v>0.35599999999999998</v>
      </c>
      <c r="H10">
        <v>0.32500000000000001</v>
      </c>
      <c r="I10">
        <v>0.35199999999999998</v>
      </c>
      <c r="J10" s="11">
        <v>0.34100000000000003</v>
      </c>
    </row>
    <row r="11" spans="1:10">
      <c r="B11" s="3" t="s">
        <v>2</v>
      </c>
      <c r="C11" s="10">
        <v>0.215</v>
      </c>
      <c r="D11">
        <v>0.19400000000000001</v>
      </c>
      <c r="E11">
        <v>0.20899999999999999</v>
      </c>
      <c r="F11" s="11">
        <v>0.20399999999999999</v>
      </c>
      <c r="G11" s="10">
        <v>0.30499999999999999</v>
      </c>
      <c r="H11">
        <v>0.29599999999999999</v>
      </c>
      <c r="I11">
        <v>0.31</v>
      </c>
      <c r="J11" s="11">
        <v>0.29799999999999999</v>
      </c>
    </row>
    <row r="12" spans="1:10">
      <c r="B12" s="3" t="s">
        <v>3</v>
      </c>
      <c r="C12" s="10">
        <v>0.21299999999999999</v>
      </c>
      <c r="D12">
        <v>0.19400000000000001</v>
      </c>
      <c r="E12">
        <v>0.20200000000000001</v>
      </c>
      <c r="F12" s="11">
        <v>0.20300000000000001</v>
      </c>
      <c r="G12" s="10">
        <v>0.30299999999999999</v>
      </c>
      <c r="H12">
        <v>0.29899999999999999</v>
      </c>
      <c r="I12">
        <v>0.309</v>
      </c>
      <c r="J12" s="11">
        <v>0.29899999999999999</v>
      </c>
    </row>
    <row r="13" spans="1:10">
      <c r="B13" s="3" t="s">
        <v>4</v>
      </c>
      <c r="C13" s="10">
        <v>0.218</v>
      </c>
      <c r="D13">
        <v>0.2</v>
      </c>
      <c r="E13">
        <v>0.20899999999999999</v>
      </c>
      <c r="F13" s="11">
        <v>0.21099999999999999</v>
      </c>
      <c r="G13" s="10">
        <v>0.315</v>
      </c>
      <c r="H13">
        <v>0.312</v>
      </c>
      <c r="I13">
        <v>0.317</v>
      </c>
      <c r="J13" s="11">
        <v>0.314</v>
      </c>
    </row>
    <row r="14" spans="1:10">
      <c r="B14" s="3" t="s">
        <v>5</v>
      </c>
      <c r="C14" s="10">
        <v>0.22900000000000001</v>
      </c>
      <c r="D14">
        <v>0.20300000000000001</v>
      </c>
      <c r="E14">
        <v>0.219</v>
      </c>
      <c r="F14" s="11">
        <v>0.215</v>
      </c>
      <c r="G14" s="10">
        <v>0.32</v>
      </c>
      <c r="H14">
        <v>0.30599999999999999</v>
      </c>
      <c r="I14">
        <v>0.32200000000000001</v>
      </c>
      <c r="J14" s="11">
        <v>0.311</v>
      </c>
    </row>
    <row r="15" spans="1:10">
      <c r="B15" s="3" t="s">
        <v>6</v>
      </c>
      <c r="C15" s="10">
        <v>0.23499999999999999</v>
      </c>
      <c r="D15">
        <v>0.215</v>
      </c>
      <c r="E15">
        <v>0.22600000000000001</v>
      </c>
      <c r="F15" s="11">
        <v>0.22900000000000001</v>
      </c>
      <c r="G15" s="10">
        <v>0.32900000000000001</v>
      </c>
      <c r="H15">
        <v>0.317</v>
      </c>
      <c r="I15">
        <v>0.33</v>
      </c>
      <c r="J15" s="11">
        <v>0.32300000000000001</v>
      </c>
    </row>
    <row r="16" spans="1:10">
      <c r="B16" s="3" t="s">
        <v>7</v>
      </c>
      <c r="C16" s="10">
        <v>0.24099999999999999</v>
      </c>
      <c r="D16">
        <v>0.218</v>
      </c>
      <c r="E16">
        <v>0.23100000000000001</v>
      </c>
      <c r="F16" s="11">
        <v>0.23499999999999999</v>
      </c>
      <c r="G16" s="10">
        <v>0.34200000000000003</v>
      </c>
      <c r="H16">
        <v>0.318</v>
      </c>
      <c r="I16">
        <v>0.33900000000000002</v>
      </c>
      <c r="J16" s="11">
        <v>0.33500000000000002</v>
      </c>
    </row>
    <row r="17" spans="1:10">
      <c r="B17" s="3" t="s">
        <v>8</v>
      </c>
      <c r="C17" s="10">
        <v>0.25</v>
      </c>
      <c r="D17">
        <v>0.23499999999999999</v>
      </c>
      <c r="E17">
        <v>0.24199999999999999</v>
      </c>
      <c r="F17" s="11">
        <v>0.252</v>
      </c>
      <c r="G17" s="10">
        <v>0.35099999999999998</v>
      </c>
      <c r="H17">
        <v>0.33600000000000002</v>
      </c>
      <c r="I17">
        <v>0.35</v>
      </c>
      <c r="J17" s="11">
        <v>0.35299999999999998</v>
      </c>
    </row>
    <row r="18" spans="1:10">
      <c r="B18" s="6" t="s">
        <v>9</v>
      </c>
      <c r="C18" s="12">
        <v>0.26600000000000001</v>
      </c>
      <c r="D18" s="5">
        <v>0.24299999999999999</v>
      </c>
      <c r="E18" s="14">
        <v>0.252</v>
      </c>
      <c r="F18" s="4">
        <v>0.25</v>
      </c>
      <c r="G18" s="12">
        <v>0.36899999999999999</v>
      </c>
      <c r="H18" s="5">
        <v>0.34699999999999998</v>
      </c>
      <c r="I18" s="5">
        <v>0.35199999999999998</v>
      </c>
      <c r="J18" s="4">
        <v>0.36</v>
      </c>
    </row>
    <row r="21" spans="1:10" ht="29">
      <c r="A21" s="15" t="s">
        <v>20</v>
      </c>
      <c r="B21" s="16" t="s">
        <v>0</v>
      </c>
      <c r="C21" s="26" t="s">
        <v>19</v>
      </c>
      <c r="D21" s="27"/>
      <c r="E21" s="27"/>
      <c r="F21" s="28"/>
      <c r="G21" s="26" t="s">
        <v>18</v>
      </c>
      <c r="H21" s="27"/>
      <c r="I21" s="27"/>
      <c r="J21" s="28"/>
    </row>
    <row r="22" spans="1:10">
      <c r="B22" s="2" t="s">
        <v>1</v>
      </c>
      <c r="C22">
        <f t="shared" ref="C22:J22" si="0">C10-0.025</f>
        <v>0.20300000000000001</v>
      </c>
      <c r="D22">
        <f t="shared" si="0"/>
        <v>0.17300000000000001</v>
      </c>
      <c r="E22">
        <f t="shared" si="0"/>
        <v>0.185</v>
      </c>
      <c r="F22" s="11">
        <f t="shared" si="0"/>
        <v>0.182</v>
      </c>
      <c r="G22" s="10">
        <f t="shared" si="0"/>
        <v>0.33099999999999996</v>
      </c>
      <c r="H22">
        <f t="shared" si="0"/>
        <v>0.3</v>
      </c>
      <c r="I22">
        <f t="shared" si="0"/>
        <v>0.32699999999999996</v>
      </c>
      <c r="J22" s="11">
        <f t="shared" si="0"/>
        <v>0.316</v>
      </c>
    </row>
    <row r="23" spans="1:10">
      <c r="B23" s="3" t="s">
        <v>2</v>
      </c>
      <c r="C23">
        <f t="shared" ref="C23:J24" si="1">C11-0.027</f>
        <v>0.188</v>
      </c>
      <c r="D23">
        <f t="shared" si="1"/>
        <v>0.16700000000000001</v>
      </c>
      <c r="E23">
        <f t="shared" si="1"/>
        <v>0.182</v>
      </c>
      <c r="F23" s="11">
        <f t="shared" si="1"/>
        <v>0.17699999999999999</v>
      </c>
      <c r="G23" s="10">
        <f t="shared" si="1"/>
        <v>0.27799999999999997</v>
      </c>
      <c r="H23">
        <f t="shared" si="1"/>
        <v>0.26899999999999996</v>
      </c>
      <c r="I23">
        <f t="shared" si="1"/>
        <v>0.28299999999999997</v>
      </c>
      <c r="J23" s="11">
        <f t="shared" si="1"/>
        <v>0.27099999999999996</v>
      </c>
    </row>
    <row r="24" spans="1:10">
      <c r="B24" s="3" t="s">
        <v>3</v>
      </c>
      <c r="C24">
        <f t="shared" si="1"/>
        <v>0.186</v>
      </c>
      <c r="D24">
        <f t="shared" si="1"/>
        <v>0.16700000000000001</v>
      </c>
      <c r="E24">
        <f t="shared" si="1"/>
        <v>0.17500000000000002</v>
      </c>
      <c r="F24" s="11">
        <f t="shared" si="1"/>
        <v>0.17600000000000002</v>
      </c>
      <c r="G24" s="10">
        <f t="shared" si="1"/>
        <v>0.27599999999999997</v>
      </c>
      <c r="H24">
        <f t="shared" si="1"/>
        <v>0.27199999999999996</v>
      </c>
      <c r="I24">
        <f t="shared" si="1"/>
        <v>0.28199999999999997</v>
      </c>
      <c r="J24" s="11">
        <f t="shared" si="1"/>
        <v>0.27199999999999996</v>
      </c>
    </row>
    <row r="25" spans="1:10">
      <c r="B25" s="3" t="s">
        <v>4</v>
      </c>
      <c r="C25">
        <f t="shared" ref="C25:J25" si="2">C13-0.029</f>
        <v>0.189</v>
      </c>
      <c r="D25">
        <f t="shared" si="2"/>
        <v>0.17100000000000001</v>
      </c>
      <c r="E25">
        <f t="shared" si="2"/>
        <v>0.18</v>
      </c>
      <c r="F25" s="11">
        <f t="shared" si="2"/>
        <v>0.182</v>
      </c>
      <c r="G25" s="10">
        <f t="shared" si="2"/>
        <v>0.28599999999999998</v>
      </c>
      <c r="H25">
        <f t="shared" si="2"/>
        <v>0.28299999999999997</v>
      </c>
      <c r="I25">
        <f t="shared" si="2"/>
        <v>0.28799999999999998</v>
      </c>
      <c r="J25" s="11">
        <f t="shared" si="2"/>
        <v>0.28499999999999998</v>
      </c>
    </row>
    <row r="26" spans="1:10">
      <c r="B26" s="3" t="s">
        <v>5</v>
      </c>
      <c r="C26">
        <f t="shared" ref="C26:J26" si="3">C14-0.031</f>
        <v>0.19800000000000001</v>
      </c>
      <c r="D26">
        <f t="shared" si="3"/>
        <v>0.17200000000000001</v>
      </c>
      <c r="E26">
        <f t="shared" si="3"/>
        <v>0.188</v>
      </c>
      <c r="F26" s="11">
        <f t="shared" si="3"/>
        <v>0.184</v>
      </c>
      <c r="G26" s="10">
        <f t="shared" si="3"/>
        <v>0.28900000000000003</v>
      </c>
      <c r="H26">
        <f t="shared" si="3"/>
        <v>0.27500000000000002</v>
      </c>
      <c r="I26">
        <f t="shared" si="3"/>
        <v>0.29100000000000004</v>
      </c>
      <c r="J26" s="11">
        <f t="shared" si="3"/>
        <v>0.28000000000000003</v>
      </c>
    </row>
    <row r="27" spans="1:10">
      <c r="B27" s="3" t="s">
        <v>6</v>
      </c>
      <c r="C27">
        <f t="shared" ref="C27:J27" si="4">C15-0.033</f>
        <v>0.20199999999999999</v>
      </c>
      <c r="D27">
        <f t="shared" si="4"/>
        <v>0.182</v>
      </c>
      <c r="E27">
        <f t="shared" si="4"/>
        <v>0.193</v>
      </c>
      <c r="F27" s="11">
        <f t="shared" si="4"/>
        <v>0.19600000000000001</v>
      </c>
      <c r="G27" s="10">
        <f t="shared" si="4"/>
        <v>0.29600000000000004</v>
      </c>
      <c r="H27">
        <f t="shared" si="4"/>
        <v>0.28400000000000003</v>
      </c>
      <c r="I27">
        <f t="shared" si="4"/>
        <v>0.29700000000000004</v>
      </c>
      <c r="J27" s="11">
        <f t="shared" si="4"/>
        <v>0.29000000000000004</v>
      </c>
    </row>
    <row r="28" spans="1:10">
      <c r="B28" s="3" t="s">
        <v>7</v>
      </c>
      <c r="C28">
        <f t="shared" ref="C28:J28" si="5">C16-0.036</f>
        <v>0.20499999999999999</v>
      </c>
      <c r="D28">
        <f t="shared" si="5"/>
        <v>0.182</v>
      </c>
      <c r="E28">
        <f t="shared" si="5"/>
        <v>0.19500000000000001</v>
      </c>
      <c r="F28" s="11">
        <f t="shared" si="5"/>
        <v>0.19899999999999998</v>
      </c>
      <c r="G28" s="10">
        <f t="shared" si="5"/>
        <v>0.30600000000000005</v>
      </c>
      <c r="H28">
        <f t="shared" si="5"/>
        <v>0.28200000000000003</v>
      </c>
      <c r="I28">
        <f t="shared" si="5"/>
        <v>0.30300000000000005</v>
      </c>
      <c r="J28" s="11">
        <f t="shared" si="5"/>
        <v>0.29900000000000004</v>
      </c>
    </row>
    <row r="29" spans="1:10">
      <c r="B29" s="3" t="s">
        <v>8</v>
      </c>
      <c r="C29">
        <f t="shared" ref="C29:J29" si="6">C17-0.051</f>
        <v>0.19900000000000001</v>
      </c>
      <c r="D29">
        <f t="shared" si="6"/>
        <v>0.184</v>
      </c>
      <c r="E29">
        <f t="shared" si="6"/>
        <v>0.191</v>
      </c>
      <c r="F29" s="11">
        <f t="shared" si="6"/>
        <v>0.20100000000000001</v>
      </c>
      <c r="G29" s="10">
        <f t="shared" si="6"/>
        <v>0.3</v>
      </c>
      <c r="H29">
        <f t="shared" si="6"/>
        <v>0.28500000000000003</v>
      </c>
      <c r="I29">
        <f t="shared" si="6"/>
        <v>0.29899999999999999</v>
      </c>
      <c r="J29" s="11">
        <f t="shared" si="6"/>
        <v>0.30199999999999999</v>
      </c>
    </row>
    <row r="30" spans="1:10">
      <c r="B30" s="6" t="s">
        <v>9</v>
      </c>
      <c r="C30" s="5">
        <f t="shared" ref="C30:J30" si="7">C18-0.068</f>
        <v>0.19800000000000001</v>
      </c>
      <c r="D30" s="5">
        <f t="shared" si="7"/>
        <v>0.17499999999999999</v>
      </c>
      <c r="E30" s="5">
        <f t="shared" si="7"/>
        <v>0.184</v>
      </c>
      <c r="F30" s="4">
        <f t="shared" si="7"/>
        <v>0.182</v>
      </c>
      <c r="G30" s="12">
        <f t="shared" si="7"/>
        <v>0.30099999999999999</v>
      </c>
      <c r="H30" s="5">
        <f t="shared" si="7"/>
        <v>0.27899999999999997</v>
      </c>
      <c r="I30" s="5">
        <f t="shared" si="7"/>
        <v>0.28399999999999997</v>
      </c>
      <c r="J30" s="4">
        <f t="shared" si="7"/>
        <v>0.29199999999999998</v>
      </c>
    </row>
    <row r="33" spans="1:19">
      <c r="C33" s="1" t="s">
        <v>10</v>
      </c>
      <c r="D33" s="1" t="s">
        <v>11</v>
      </c>
      <c r="E33" s="1" t="s">
        <v>13</v>
      </c>
      <c r="F33" s="1" t="s">
        <v>14</v>
      </c>
      <c r="G33" s="1" t="s">
        <v>10</v>
      </c>
      <c r="H33" s="1" t="s">
        <v>11</v>
      </c>
      <c r="I33" s="1" t="s">
        <v>13</v>
      </c>
      <c r="J33" s="1" t="s">
        <v>14</v>
      </c>
    </row>
    <row r="34" spans="1:19" ht="29">
      <c r="A34" s="15" t="s">
        <v>23</v>
      </c>
      <c r="B34" s="16" t="s">
        <v>0</v>
      </c>
      <c r="C34" s="26" t="s">
        <v>21</v>
      </c>
      <c r="D34" s="27"/>
      <c r="E34" s="27"/>
      <c r="F34" s="28"/>
      <c r="G34" s="26" t="s">
        <v>22</v>
      </c>
      <c r="H34" s="27"/>
      <c r="I34" s="27"/>
      <c r="J34" s="28"/>
    </row>
    <row r="35" spans="1:19">
      <c r="B35" s="2" t="s">
        <v>1</v>
      </c>
      <c r="C35">
        <f t="shared" ref="C35:J43" si="8">LN(C22)</f>
        <v>-1.5945492999403497</v>
      </c>
      <c r="D35">
        <f t="shared" si="8"/>
        <v>-1.754463684484358</v>
      </c>
      <c r="E35">
        <f t="shared" si="8"/>
        <v>-1.6873994539038122</v>
      </c>
      <c r="F35" s="11">
        <f t="shared" si="8"/>
        <v>-1.7037485919053417</v>
      </c>
      <c r="G35" s="10">
        <f t="shared" si="8"/>
        <v>-1.1056369036050742</v>
      </c>
      <c r="H35">
        <f t="shared" si="8"/>
        <v>-1.2039728043259361</v>
      </c>
      <c r="I35">
        <f t="shared" si="8"/>
        <v>-1.1177951080848838</v>
      </c>
      <c r="J35" s="11">
        <f t="shared" si="8"/>
        <v>-1.152013065395225</v>
      </c>
    </row>
    <row r="36" spans="1:19">
      <c r="B36" s="3" t="s">
        <v>2</v>
      </c>
      <c r="C36">
        <f t="shared" si="8"/>
        <v>-1.6713133161521878</v>
      </c>
      <c r="D36">
        <f t="shared" si="8"/>
        <v>-1.7897614665653818</v>
      </c>
      <c r="E36">
        <f t="shared" si="8"/>
        <v>-1.7037485919053417</v>
      </c>
      <c r="F36" s="11">
        <f t="shared" si="8"/>
        <v>-1.731605546408308</v>
      </c>
      <c r="G36" s="10">
        <f t="shared" si="8"/>
        <v>-1.2801341652915001</v>
      </c>
      <c r="H36">
        <f t="shared" si="8"/>
        <v>-1.3130438993802982</v>
      </c>
      <c r="I36">
        <f t="shared" si="8"/>
        <v>-1.2623083813388996</v>
      </c>
      <c r="J36" s="11">
        <f t="shared" si="8"/>
        <v>-1.3056364581024362</v>
      </c>
    </row>
    <row r="37" spans="1:19">
      <c r="B37" s="3" t="s">
        <v>3</v>
      </c>
      <c r="C37">
        <f t="shared" si="8"/>
        <v>-1.6820086052689358</v>
      </c>
      <c r="D37">
        <f t="shared" si="8"/>
        <v>-1.7897614665653818</v>
      </c>
      <c r="E37">
        <f t="shared" si="8"/>
        <v>-1.7429693050586228</v>
      </c>
      <c r="F37" s="11">
        <f t="shared" si="8"/>
        <v>-1.7372712839439852</v>
      </c>
      <c r="G37" s="10">
        <f t="shared" si="8"/>
        <v>-1.2873544132649872</v>
      </c>
      <c r="H37">
        <f t="shared" si="8"/>
        <v>-1.3019532126861399</v>
      </c>
      <c r="I37">
        <f t="shared" si="8"/>
        <v>-1.2658482080440236</v>
      </c>
      <c r="J37" s="11">
        <f t="shared" si="8"/>
        <v>-1.3019532126861399</v>
      </c>
    </row>
    <row r="38" spans="1:19">
      <c r="B38" s="3" t="s">
        <v>4</v>
      </c>
      <c r="C38">
        <f t="shared" si="8"/>
        <v>-1.6660082639224947</v>
      </c>
      <c r="D38">
        <f t="shared" si="8"/>
        <v>-1.7660917224794772</v>
      </c>
      <c r="E38">
        <f t="shared" si="8"/>
        <v>-1.7147984280919266</v>
      </c>
      <c r="F38" s="11">
        <f t="shared" si="8"/>
        <v>-1.7037485919053417</v>
      </c>
      <c r="G38" s="10">
        <f t="shared" si="8"/>
        <v>-1.2517634681622845</v>
      </c>
      <c r="H38">
        <f t="shared" si="8"/>
        <v>-1.2623083813388996</v>
      </c>
      <c r="I38">
        <f t="shared" si="8"/>
        <v>-1.2447947988461912</v>
      </c>
      <c r="J38" s="11">
        <f t="shared" si="8"/>
        <v>-1.2552660987134867</v>
      </c>
    </row>
    <row r="39" spans="1:19">
      <c r="B39" s="3" t="s">
        <v>5</v>
      </c>
      <c r="C39">
        <f t="shared" si="8"/>
        <v>-1.6194882482876019</v>
      </c>
      <c r="D39">
        <f t="shared" si="8"/>
        <v>-1.7602608021686839</v>
      </c>
      <c r="E39">
        <f t="shared" si="8"/>
        <v>-1.6713133161521878</v>
      </c>
      <c r="F39" s="11">
        <f t="shared" si="8"/>
        <v>-1.6928195213731514</v>
      </c>
      <c r="G39" s="10">
        <f t="shared" si="8"/>
        <v>-1.2413285908697047</v>
      </c>
      <c r="H39">
        <f t="shared" si="8"/>
        <v>-1.2909841813155656</v>
      </c>
      <c r="I39">
        <f t="shared" si="8"/>
        <v>-1.2344320118106444</v>
      </c>
      <c r="J39" s="11">
        <f t="shared" si="8"/>
        <v>-1.2729656758128873</v>
      </c>
    </row>
    <row r="40" spans="1:19">
      <c r="B40" s="3" t="s">
        <v>6</v>
      </c>
      <c r="C40">
        <f t="shared" si="8"/>
        <v>-1.5994875815809324</v>
      </c>
      <c r="D40">
        <f t="shared" si="8"/>
        <v>-1.7037485919053417</v>
      </c>
      <c r="E40">
        <f t="shared" si="8"/>
        <v>-1.6450650900772514</v>
      </c>
      <c r="F40" s="11">
        <f t="shared" si="8"/>
        <v>-1.6296406197516198</v>
      </c>
      <c r="G40" s="10">
        <f t="shared" si="8"/>
        <v>-1.2173958246580765</v>
      </c>
      <c r="H40">
        <f t="shared" si="8"/>
        <v>-1.258781040820931</v>
      </c>
      <c r="I40">
        <f t="shared" si="8"/>
        <v>-1.2140231401794372</v>
      </c>
      <c r="J40" s="11">
        <f t="shared" si="8"/>
        <v>-1.2378743560016172</v>
      </c>
    </row>
    <row r="41" spans="1:19">
      <c r="B41" s="3" t="s">
        <v>7</v>
      </c>
      <c r="C41">
        <f t="shared" si="8"/>
        <v>-1.584745299843729</v>
      </c>
      <c r="D41">
        <f t="shared" si="8"/>
        <v>-1.7037485919053417</v>
      </c>
      <c r="E41">
        <f t="shared" si="8"/>
        <v>-1.6347557204183902</v>
      </c>
      <c r="F41" s="11">
        <f t="shared" si="8"/>
        <v>-1.6144504542576448</v>
      </c>
      <c r="G41" s="10">
        <f t="shared" si="8"/>
        <v>-1.1841701770297561</v>
      </c>
      <c r="H41">
        <f t="shared" si="8"/>
        <v>-1.2658482080440234</v>
      </c>
      <c r="I41">
        <f t="shared" si="8"/>
        <v>-1.1940224734727678</v>
      </c>
      <c r="J41" s="11">
        <f t="shared" si="8"/>
        <v>-1.2073117055914504</v>
      </c>
    </row>
    <row r="42" spans="1:19">
      <c r="B42" s="3" t="s">
        <v>8</v>
      </c>
      <c r="C42">
        <f t="shared" si="8"/>
        <v>-1.6144504542576446</v>
      </c>
      <c r="D42">
        <f t="shared" si="8"/>
        <v>-1.6928195213731514</v>
      </c>
      <c r="E42">
        <f t="shared" si="8"/>
        <v>-1.6554818509355071</v>
      </c>
      <c r="F42" s="11">
        <f t="shared" si="8"/>
        <v>-1.6044503709230613</v>
      </c>
      <c r="G42" s="10">
        <f t="shared" si="8"/>
        <v>-1.2039728043259361</v>
      </c>
      <c r="H42">
        <f t="shared" si="8"/>
        <v>-1.2552660987134865</v>
      </c>
      <c r="I42">
        <f t="shared" si="8"/>
        <v>-1.2073117055914506</v>
      </c>
      <c r="J42" s="11">
        <f t="shared" si="8"/>
        <v>-1.1973282616072674</v>
      </c>
    </row>
    <row r="43" spans="1:19">
      <c r="B43" s="6" t="s">
        <v>9</v>
      </c>
      <c r="C43" s="5">
        <f t="shared" si="8"/>
        <v>-1.6194882482876019</v>
      </c>
      <c r="D43" s="5">
        <f t="shared" si="8"/>
        <v>-1.742969305058623</v>
      </c>
      <c r="E43" s="5">
        <f t="shared" si="8"/>
        <v>-1.6928195213731514</v>
      </c>
      <c r="F43" s="4">
        <f t="shared" si="8"/>
        <v>-1.7037485919053417</v>
      </c>
      <c r="G43" s="12">
        <f t="shared" si="8"/>
        <v>-1.2006450142332614</v>
      </c>
      <c r="H43" s="5">
        <f t="shared" si="8"/>
        <v>-1.2765434971607714</v>
      </c>
      <c r="I43" s="5">
        <f t="shared" si="8"/>
        <v>-1.258781040820931</v>
      </c>
      <c r="J43" s="4">
        <f t="shared" si="8"/>
        <v>-1.2310014767138553</v>
      </c>
    </row>
    <row r="46" spans="1:19">
      <c r="C46" s="1" t="s">
        <v>10</v>
      </c>
      <c r="D46" s="1" t="s">
        <v>11</v>
      </c>
      <c r="E46" s="1" t="s">
        <v>13</v>
      </c>
      <c r="F46" s="1" t="s">
        <v>14</v>
      </c>
    </row>
    <row r="47" spans="1:19" ht="43.5" customHeight="1">
      <c r="A47" s="19" t="s">
        <v>33</v>
      </c>
      <c r="B47" s="16" t="s">
        <v>0</v>
      </c>
      <c r="C47" s="23" t="s">
        <v>26</v>
      </c>
      <c r="D47" s="24"/>
      <c r="E47" s="24"/>
      <c r="F47" s="25"/>
      <c r="G47" s="22" t="s">
        <v>34</v>
      </c>
      <c r="H47" s="20" t="s">
        <v>12</v>
      </c>
      <c r="I47" s="17" t="s">
        <v>24</v>
      </c>
      <c r="J47" s="17" t="s">
        <v>25</v>
      </c>
      <c r="M47" s="7"/>
      <c r="N47" s="7"/>
      <c r="O47" s="7"/>
      <c r="P47" s="7"/>
      <c r="S47" s="13"/>
    </row>
    <row r="48" spans="1:19">
      <c r="B48" s="3" t="s">
        <v>1</v>
      </c>
      <c r="C48">
        <f t="shared" ref="C48:F49" si="9">G35-C35</f>
        <v>0.4889123963352755</v>
      </c>
      <c r="D48">
        <f t="shared" si="9"/>
        <v>0.55049088015842185</v>
      </c>
      <c r="E48">
        <f t="shared" si="9"/>
        <v>0.56960434581892838</v>
      </c>
      <c r="F48" s="11">
        <f t="shared" si="9"/>
        <v>0.5517355265101167</v>
      </c>
      <c r="G48" s="1">
        <f>AVERAGE(C48:F48)</f>
        <v>0.54018578720568566</v>
      </c>
      <c r="H48" s="13">
        <f t="shared" ref="H48:H56" si="10">_xlfn.STDEV.S(C48:F48)</f>
        <v>3.527985081693473E-2</v>
      </c>
      <c r="I48">
        <f t="shared" ref="I48:I56" si="11">G48+H48</f>
        <v>0.57546563802262041</v>
      </c>
      <c r="J48">
        <f>G48-H48</f>
        <v>0.50490593638875092</v>
      </c>
      <c r="M48" s="8"/>
      <c r="N48" s="9"/>
      <c r="O48" s="9"/>
      <c r="P48" s="8"/>
    </row>
    <row r="49" spans="2:16">
      <c r="B49" s="3" t="s">
        <v>2</v>
      </c>
      <c r="C49">
        <f t="shared" si="9"/>
        <v>0.39117915086068766</v>
      </c>
      <c r="D49">
        <f t="shared" si="9"/>
        <v>0.47671756718508362</v>
      </c>
      <c r="E49">
        <f t="shared" si="9"/>
        <v>0.44144021056644211</v>
      </c>
      <c r="F49" s="11">
        <f t="shared" si="9"/>
        <v>0.42596908830587177</v>
      </c>
      <c r="G49" s="1">
        <f t="shared" ref="G49:G56" si="12">AVERAGE(C49:F49)</f>
        <v>0.43382650422952129</v>
      </c>
      <c r="H49" s="13">
        <f t="shared" si="10"/>
        <v>3.5487779774669222E-2</v>
      </c>
      <c r="I49">
        <f t="shared" si="11"/>
        <v>0.46931428400419051</v>
      </c>
      <c r="J49">
        <f t="shared" ref="J49:J56" si="13">G49-H49</f>
        <v>0.39833872445485208</v>
      </c>
      <c r="M49" s="8"/>
      <c r="N49" s="9"/>
      <c r="O49" s="9"/>
      <c r="P49" s="8"/>
    </row>
    <row r="50" spans="2:16">
      <c r="B50" s="3" t="s">
        <v>3</v>
      </c>
      <c r="C50">
        <f t="shared" ref="C50:F50" si="14">G37-C37</f>
        <v>0.39465419200394858</v>
      </c>
      <c r="D50">
        <f t="shared" si="14"/>
        <v>0.48780825387924187</v>
      </c>
      <c r="E50">
        <f t="shared" si="14"/>
        <v>0.47712109701459915</v>
      </c>
      <c r="F50" s="11">
        <f t="shared" si="14"/>
        <v>0.43531807125784527</v>
      </c>
      <c r="G50" s="1">
        <f t="shared" si="12"/>
        <v>0.44872540353890872</v>
      </c>
      <c r="H50" s="13">
        <f t="shared" si="10"/>
        <v>4.25724366010196E-2</v>
      </c>
      <c r="I50">
        <f t="shared" si="11"/>
        <v>0.49129784013992833</v>
      </c>
      <c r="J50">
        <f t="shared" si="13"/>
        <v>0.4061529669378891</v>
      </c>
      <c r="M50" s="8"/>
      <c r="N50" s="9"/>
      <c r="O50" s="9"/>
      <c r="P50" s="8"/>
    </row>
    <row r="51" spans="2:16">
      <c r="B51" s="3" t="s">
        <v>4</v>
      </c>
      <c r="C51">
        <f t="shared" ref="C51:F51" si="15">G38-C38</f>
        <v>0.41424479576021023</v>
      </c>
      <c r="D51">
        <f t="shared" si="15"/>
        <v>0.50378334114057766</v>
      </c>
      <c r="E51">
        <f t="shared" si="15"/>
        <v>0.47000362924573547</v>
      </c>
      <c r="F51" s="11">
        <f t="shared" si="15"/>
        <v>0.44848249319185496</v>
      </c>
      <c r="G51" s="1">
        <f t="shared" si="12"/>
        <v>0.45912856483459458</v>
      </c>
      <c r="H51" s="13">
        <f t="shared" si="10"/>
        <v>3.7595246333496542E-2</v>
      </c>
      <c r="I51">
        <f t="shared" si="11"/>
        <v>0.49672381116809111</v>
      </c>
      <c r="J51">
        <f t="shared" si="13"/>
        <v>0.42153331850109804</v>
      </c>
      <c r="M51" s="8"/>
      <c r="N51" s="9"/>
      <c r="O51" s="9"/>
      <c r="P51" s="8"/>
    </row>
    <row r="52" spans="2:16">
      <c r="B52" s="3" t="s">
        <v>5</v>
      </c>
      <c r="C52">
        <f t="shared" ref="C52:F52" si="16">G39-C39</f>
        <v>0.37815965741789714</v>
      </c>
      <c r="D52">
        <f t="shared" si="16"/>
        <v>0.46927662085311828</v>
      </c>
      <c r="E52">
        <f t="shared" si="16"/>
        <v>0.43688130434154338</v>
      </c>
      <c r="F52" s="11">
        <f t="shared" si="16"/>
        <v>0.41985384556026406</v>
      </c>
      <c r="G52" s="1">
        <f t="shared" si="12"/>
        <v>0.42604285704320571</v>
      </c>
      <c r="H52" s="13">
        <f t="shared" si="10"/>
        <v>3.7937382366663462E-2</v>
      </c>
      <c r="I52">
        <f t="shared" si="11"/>
        <v>0.46398023940986916</v>
      </c>
      <c r="J52">
        <f t="shared" si="13"/>
        <v>0.38810547467654227</v>
      </c>
      <c r="M52" s="8"/>
      <c r="N52" s="9"/>
      <c r="O52" s="9"/>
      <c r="P52" s="8"/>
    </row>
    <row r="53" spans="2:16">
      <c r="B53" s="3" t="s">
        <v>6</v>
      </c>
      <c r="C53">
        <f t="shared" ref="C53:F53" si="17">G40-C40</f>
        <v>0.38209175692285591</v>
      </c>
      <c r="D53">
        <f t="shared" si="17"/>
        <v>0.44496755108441066</v>
      </c>
      <c r="E53">
        <f t="shared" si="17"/>
        <v>0.43104194989781419</v>
      </c>
      <c r="F53" s="11">
        <f t="shared" si="17"/>
        <v>0.39176626375000256</v>
      </c>
      <c r="G53" s="1">
        <f t="shared" si="12"/>
        <v>0.41246688041377083</v>
      </c>
      <c r="H53" s="13">
        <f t="shared" si="10"/>
        <v>3.0290209957052897E-2</v>
      </c>
      <c r="I53">
        <f t="shared" si="11"/>
        <v>0.44275709037082372</v>
      </c>
      <c r="J53">
        <f t="shared" si="13"/>
        <v>0.38217667045671794</v>
      </c>
      <c r="M53" s="8"/>
      <c r="N53" s="9"/>
      <c r="O53" s="9"/>
      <c r="P53" s="8"/>
    </row>
    <row r="54" spans="2:16">
      <c r="B54" s="3" t="s">
        <v>7</v>
      </c>
      <c r="C54">
        <f t="shared" ref="C54:F54" si="18">G41-C41</f>
        <v>0.40057512281397289</v>
      </c>
      <c r="D54">
        <f t="shared" si="18"/>
        <v>0.43790038386131824</v>
      </c>
      <c r="E54">
        <f t="shared" si="18"/>
        <v>0.44073324694562244</v>
      </c>
      <c r="F54" s="11">
        <f t="shared" si="18"/>
        <v>0.40713874866619437</v>
      </c>
      <c r="G54" s="1">
        <f t="shared" si="12"/>
        <v>0.42158687557177699</v>
      </c>
      <c r="H54" s="13">
        <f t="shared" si="10"/>
        <v>2.0679750276804989E-2</v>
      </c>
      <c r="I54">
        <f t="shared" si="11"/>
        <v>0.44226662584858195</v>
      </c>
      <c r="J54">
        <f t="shared" si="13"/>
        <v>0.40090712529497202</v>
      </c>
      <c r="M54" s="8"/>
      <c r="N54" s="9"/>
      <c r="O54" s="9"/>
      <c r="P54" s="8"/>
    </row>
    <row r="55" spans="2:16">
      <c r="B55" s="3" t="s">
        <v>8</v>
      </c>
      <c r="C55">
        <f t="shared" ref="C55:F55" si="19">G42-C42</f>
        <v>0.41047764993170843</v>
      </c>
      <c r="D55">
        <f t="shared" si="19"/>
        <v>0.4375534226596649</v>
      </c>
      <c r="E55">
        <f t="shared" si="19"/>
        <v>0.44817014534405653</v>
      </c>
      <c r="F55" s="11">
        <f t="shared" si="19"/>
        <v>0.40712210931579396</v>
      </c>
      <c r="G55" s="1">
        <f t="shared" si="12"/>
        <v>0.42583083181280595</v>
      </c>
      <c r="H55" s="13">
        <f t="shared" si="10"/>
        <v>2.0184156794828299E-2</v>
      </c>
      <c r="I55">
        <f t="shared" si="11"/>
        <v>0.44601498860763428</v>
      </c>
      <c r="J55">
        <f t="shared" si="13"/>
        <v>0.40564667501797763</v>
      </c>
      <c r="M55" s="8"/>
      <c r="N55" s="9"/>
      <c r="O55" s="9"/>
      <c r="P55" s="8"/>
    </row>
    <row r="56" spans="2:16">
      <c r="B56" s="6" t="s">
        <v>9</v>
      </c>
      <c r="C56" s="5">
        <f t="shared" ref="C56:F56" si="20">G43-C43</f>
        <v>0.41884323405434043</v>
      </c>
      <c r="D56" s="5">
        <f t="shared" si="20"/>
        <v>0.4664258078978516</v>
      </c>
      <c r="E56" s="5">
        <f t="shared" si="20"/>
        <v>0.43403848055222038</v>
      </c>
      <c r="F56" s="4">
        <f t="shared" si="20"/>
        <v>0.47274711519148638</v>
      </c>
      <c r="G56" s="1">
        <f t="shared" si="12"/>
        <v>0.4480136594239747</v>
      </c>
      <c r="H56" s="13">
        <f t="shared" si="10"/>
        <v>2.5800325491296131E-2</v>
      </c>
      <c r="I56">
        <f t="shared" si="11"/>
        <v>0.47381398491527082</v>
      </c>
      <c r="J56">
        <f t="shared" si="13"/>
        <v>0.42221333393267857</v>
      </c>
      <c r="M56" s="8"/>
      <c r="N56" s="9"/>
      <c r="O56" s="9"/>
      <c r="P56" s="8"/>
    </row>
  </sheetData>
  <mergeCells count="7">
    <mergeCell ref="C47:F47"/>
    <mergeCell ref="C9:F9"/>
    <mergeCell ref="G9:J9"/>
    <mergeCell ref="C21:F21"/>
    <mergeCell ref="G21:J21"/>
    <mergeCell ref="C34:F34"/>
    <mergeCell ref="G34:J3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2026-01-05T10:33:00Z</dcterms:created>
  <dcterms:modified xsi:type="dcterms:W3CDTF">2026-08-13T22:31:30Z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{D6E9462F-0C67-4CC9-B78F-4C1B828F1F59}</vt:lpwstr>
  </property>
  <property fmtid="{D5CDD505-2E9C-101B-9397-08002B2CF9AE}" pid="3" name="ICV">
    <vt:lpwstr>AFAF79BD8A3042FC8F5EF293461C8399_12</vt:lpwstr>
  </property>
  <property fmtid="{D5CDD505-2E9C-101B-9397-08002B2CF9AE}" pid="4" name="KSOProductBuildVer">
    <vt:lpwstr>1033-12.1.0.28032</vt:lpwstr>
  </property>
  <property fmtid="{D5CDD505-2E9C-101B-9397-08002B2CF9AE}" pid="5" name="CalculationRule">
    <vt:i4>0</vt:i4>
  </property>
</Properties>
</file>