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Thesis/RSC EnvSciNano paper/Github data/04_STEM/"/>
    </mc:Choice>
  </mc:AlternateContent>
  <xr:revisionPtr revIDLastSave="0" documentId="8_{7B5B8C61-4F59-4FA1-9738-0281AA12B678}" xr6:coauthVersionLast="47" xr6:coauthVersionMax="47" xr10:uidLastSave="{00000000-0000-0000-0000-000000000000}"/>
  <bookViews>
    <workbookView xWindow="33450" yWindow="4515" windowWidth="18420" windowHeight="11520" xr2:uid="{123A59A2-FEC0-495A-898C-3FAE50072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7" i="1" l="1"/>
  <c r="D37" i="1"/>
  <c r="C37" i="1"/>
  <c r="C38" i="1" s="1"/>
  <c r="C39" i="1" s="1" a="1"/>
  <c r="C39" i="1" s="1"/>
  <c r="F37" i="1"/>
  <c r="F38" i="1" s="1"/>
  <c r="F39" i="1" s="1" a="1"/>
  <c r="F39" i="1" s="1"/>
  <c r="E38" i="1" l="1"/>
  <c r="E39" i="1" s="1" a="1"/>
  <c r="E39" i="1" s="1"/>
  <c r="D38" i="1"/>
  <c r="D39" i="1" s="1" a="1"/>
  <c r="D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<sst xmlns="http://schemas.openxmlformats.org/spreadsheetml/2006/main" count="26" uniqueCount="21">
  <si>
    <t xml:space="preserve">Number of dark spots per cell </t>
  </si>
  <si>
    <t>Control</t>
  </si>
  <si>
    <r>
      <t>20 mg 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PS NPs</t>
    </r>
  </si>
  <si>
    <r>
      <t>320 mg 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PS NPs</t>
    </r>
  </si>
  <si>
    <r>
      <t>80 mg 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PS NPs</t>
    </r>
  </si>
  <si>
    <t>≥ 10</t>
  </si>
  <si>
    <t>Percentage-frequency distribution of cells (%)</t>
  </si>
  <si>
    <t>Spot-count categories from 10 to 23 dark spots per cell were pooled as ≥10 for visualization in Figure S12</t>
  </si>
  <si>
    <t>Sample</t>
  </si>
  <si>
    <t>Mean</t>
  </si>
  <si>
    <t>SE</t>
  </si>
  <si>
    <t>Total cells</t>
  </si>
  <si>
    <t>Figures 9 and S12</t>
  </si>
  <si>
    <t>Measurement: Number of electron-dense dark spots per E. coli cell</t>
  </si>
  <si>
    <t>Experimental conditions: Control, 20 mg L⁻¹ PS NP, 80 mg L⁻¹ PS NP, and 320 mg L⁻¹ PS NP</t>
  </si>
  <si>
    <t>Exposure time: 24 h</t>
  </si>
  <si>
    <t>Feature definition: Electron-dense intracellular features within the 40 to 60 nm size range</t>
  </si>
  <si>
    <t>Image analysis: Dark spots were quantified from STEM images using Fiji ImageJ with a fixed intensity threshold and size window</t>
  </si>
  <si>
    <t>Data type: Frequency distribution of dark spots per cell and corresponding summary statistics</t>
  </si>
  <si>
    <t>Purpose: Source data used to generate Figure 9 in the main manuscript and Figure S12 in the Supporting Information</t>
  </si>
  <si>
    <t>Summary calculation: Mean dark spots per cell were calculated as a weighted mean from the spot-count frequency distribution. SE was calculated from the corresponding cell-level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</si>
</sst>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CE4A-633C-4E61-A4D5-991C215BD791}">
  <dimension ref="A1:L39"/>
  <sheetViews>
    <sheetView tabSelected="1" zoomScale="70" zoomScaleNormal="70" workbookViewId="0">
      <selection activeCell="B11" sqref="B11"/>
    </sheetView>
  </sheetViews>
  <sheetFormatPr defaultRowHeight="14.5" x14ac:dyDescent="0.35"/>
  <cols>
    <col min="4" max="4" width="14" customWidth="1"/>
    <col min="6" max="7" width="10.08984375" customWidth="1"/>
    <col min="9" max="9" width="10" customWidth="1"/>
    <col min="11" max="11" width="11.81640625" customWidth="1"/>
    <col min="12" max="12" width="12.453125" customWidth="1"/>
  </cols>
  <sheetData>
    <row r="1" spans="1:12" x14ac:dyDescent="0.35">
      <c r="A1" t="s">
        <v>12</v>
      </c>
    </row>
    <row r="2" spans="1:12" x14ac:dyDescent="0.35">
      <c r="A2" t="s">
        <v>13</v>
      </c>
    </row>
    <row r="3" spans="1:12" x14ac:dyDescent="0.35">
      <c r="A3" t="s">
        <v>14</v>
      </c>
    </row>
    <row r="4" spans="1:12" x14ac:dyDescent="0.35">
      <c r="A4" t="s">
        <v>15</v>
      </c>
    </row>
    <row r="5" spans="1:12" x14ac:dyDescent="0.35">
      <c r="A5" t="s">
        <v>16</v>
      </c>
    </row>
    <row r="6" spans="1:12" x14ac:dyDescent="0.35">
      <c r="A6" t="s">
        <v>17</v>
      </c>
    </row>
    <row r="7" spans="1:12" x14ac:dyDescent="0.35">
      <c r="A7" t="s">
        <v>18</v>
      </c>
    </row>
    <row r="8" spans="1:12" x14ac:dyDescent="0.35">
      <c r="A8" t="s">
        <v>19</v>
      </c>
    </row>
    <row r="9" spans="1:12" x14ac:dyDescent="0.35">
      <c r="A9" t="s">
        <v>20</v>
      </c>
    </row>
    <row r="13" spans="1:12" ht="23.5" customHeight="1" x14ac:dyDescent="0.35">
      <c r="B13" s="8" t="s">
        <v>0</v>
      </c>
      <c r="C13" s="9" t="s">
        <v>8</v>
      </c>
      <c r="D13" s="9"/>
      <c r="E13" s="9"/>
      <c r="F13" s="9"/>
      <c r="G13" s="2"/>
      <c r="H13" s="8" t="s">
        <v>0</v>
      </c>
      <c r="I13" s="9" t="s">
        <v>6</v>
      </c>
      <c r="J13" s="9"/>
      <c r="K13" s="9"/>
      <c r="L13" s="9"/>
    </row>
    <row r="14" spans="1:12" ht="31" x14ac:dyDescent="0.35">
      <c r="B14" s="8"/>
      <c r="C14" s="6" t="s">
        <v>1</v>
      </c>
      <c r="D14" s="5" t="s">
        <v>2</v>
      </c>
      <c r="E14" s="5" t="s">
        <v>4</v>
      </c>
      <c r="F14" s="5" t="s">
        <v>3</v>
      </c>
      <c r="G14" s="1"/>
      <c r="H14" s="8"/>
      <c r="I14" s="6" t="s">
        <v>1</v>
      </c>
      <c r="J14" s="5" t="s">
        <v>2</v>
      </c>
      <c r="K14" s="5" t="s">
        <v>4</v>
      </c>
      <c r="L14" s="5" t="s">
        <v>3</v>
      </c>
    </row>
    <row r="15" spans="1:12" x14ac:dyDescent="0.35">
      <c r="B15" s="3">
        <v>0</v>
      </c>
      <c r="C15" s="3">
        <v>647</v>
      </c>
      <c r="D15" s="3">
        <v>206</v>
      </c>
      <c r="E15" s="3">
        <v>211</v>
      </c>
      <c r="F15" s="3">
        <v>254</v>
      </c>
      <c r="H15" s="3">
        <v>0</v>
      </c>
      <c r="I15" s="3">
        <v>98.030299999999997</v>
      </c>
      <c r="J15" s="3">
        <v>34.563760000000002</v>
      </c>
      <c r="K15" s="3">
        <v>35.521889999999999</v>
      </c>
      <c r="L15" s="3">
        <v>37.853949999999998</v>
      </c>
    </row>
    <row r="16" spans="1:12" x14ac:dyDescent="0.35">
      <c r="B16" s="3">
        <v>1</v>
      </c>
      <c r="C16" s="3">
        <v>11</v>
      </c>
      <c r="D16" s="3">
        <v>107</v>
      </c>
      <c r="E16" s="3">
        <v>100</v>
      </c>
      <c r="F16" s="3">
        <v>122</v>
      </c>
      <c r="H16" s="3">
        <v>1</v>
      </c>
      <c r="I16" s="3">
        <v>1.6666700000000001</v>
      </c>
      <c r="J16" s="3">
        <v>17.953019999999999</v>
      </c>
      <c r="K16" s="3">
        <v>16.83502</v>
      </c>
      <c r="L16" s="3">
        <v>18.181819999999998</v>
      </c>
    </row>
    <row r="17" spans="2:12" x14ac:dyDescent="0.35">
      <c r="B17" s="3">
        <v>2</v>
      </c>
      <c r="C17" s="3">
        <v>2</v>
      </c>
      <c r="D17" s="3">
        <v>104</v>
      </c>
      <c r="E17" s="3">
        <v>84</v>
      </c>
      <c r="F17" s="3">
        <v>122</v>
      </c>
      <c r="H17" s="3">
        <v>2</v>
      </c>
      <c r="I17" s="3">
        <v>0.30303000000000002</v>
      </c>
      <c r="J17" s="3">
        <v>17.449660000000002</v>
      </c>
      <c r="K17" s="3">
        <v>14.14141</v>
      </c>
      <c r="L17" s="3">
        <v>18.181819999999998</v>
      </c>
    </row>
    <row r="18" spans="2:12" x14ac:dyDescent="0.35">
      <c r="B18" s="3">
        <v>3</v>
      </c>
      <c r="C18" s="3">
        <v>0</v>
      </c>
      <c r="D18" s="3">
        <v>54</v>
      </c>
      <c r="E18" s="3">
        <v>70</v>
      </c>
      <c r="F18" s="3">
        <v>67</v>
      </c>
      <c r="H18" s="3">
        <v>3</v>
      </c>
      <c r="I18" s="3">
        <v>0</v>
      </c>
      <c r="J18" s="3">
        <v>9.0603999999999996</v>
      </c>
      <c r="K18" s="3">
        <v>11.784509999999999</v>
      </c>
      <c r="L18" s="3">
        <v>9.9850999999999992</v>
      </c>
    </row>
    <row r="19" spans="2:12" x14ac:dyDescent="0.35">
      <c r="B19" s="3">
        <v>4</v>
      </c>
      <c r="C19" s="3">
        <v>0</v>
      </c>
      <c r="D19" s="3">
        <v>43</v>
      </c>
      <c r="E19" s="3">
        <v>46</v>
      </c>
      <c r="F19" s="3">
        <v>32</v>
      </c>
      <c r="H19" s="3">
        <v>4</v>
      </c>
      <c r="I19" s="3">
        <v>0</v>
      </c>
      <c r="J19" s="3">
        <v>7.2147699999999997</v>
      </c>
      <c r="K19" s="3">
        <v>7.74411</v>
      </c>
      <c r="L19" s="3">
        <v>4.7690000000000001</v>
      </c>
    </row>
    <row r="20" spans="2:12" x14ac:dyDescent="0.35">
      <c r="B20" s="3">
        <v>5</v>
      </c>
      <c r="C20" s="3">
        <v>0</v>
      </c>
      <c r="D20" s="3">
        <v>28</v>
      </c>
      <c r="E20" s="3">
        <v>39</v>
      </c>
      <c r="F20" s="3">
        <v>24</v>
      </c>
      <c r="H20" s="3">
        <v>5</v>
      </c>
      <c r="I20" s="3">
        <v>0</v>
      </c>
      <c r="J20" s="3">
        <v>4.6979899999999999</v>
      </c>
      <c r="K20" s="3">
        <v>6.5656600000000003</v>
      </c>
      <c r="L20" s="3">
        <v>3.5767500000000001</v>
      </c>
    </row>
    <row r="21" spans="2:12" x14ac:dyDescent="0.35">
      <c r="B21" s="3">
        <v>6</v>
      </c>
      <c r="C21" s="3">
        <v>0</v>
      </c>
      <c r="D21" s="3">
        <v>19</v>
      </c>
      <c r="E21" s="3">
        <v>13</v>
      </c>
      <c r="F21" s="3">
        <v>19</v>
      </c>
      <c r="H21" s="3">
        <v>6</v>
      </c>
      <c r="I21" s="3">
        <v>0</v>
      </c>
      <c r="J21" s="3">
        <v>3.1879200000000001</v>
      </c>
      <c r="K21" s="3">
        <v>2.1885500000000002</v>
      </c>
      <c r="L21" s="3">
        <v>2.8315899999999998</v>
      </c>
    </row>
    <row r="22" spans="2:12" x14ac:dyDescent="0.35">
      <c r="B22" s="3">
        <v>7</v>
      </c>
      <c r="C22" s="3">
        <v>0</v>
      </c>
      <c r="D22" s="3">
        <v>7</v>
      </c>
      <c r="E22" s="3">
        <v>6</v>
      </c>
      <c r="F22" s="3">
        <v>8</v>
      </c>
      <c r="H22" s="3">
        <v>7</v>
      </c>
      <c r="I22" s="3">
        <v>0</v>
      </c>
      <c r="J22" s="3">
        <v>1.1745000000000001</v>
      </c>
      <c r="K22" s="3">
        <v>1.0101</v>
      </c>
      <c r="L22" s="3">
        <v>1.19225</v>
      </c>
    </row>
    <row r="23" spans="2:12" x14ac:dyDescent="0.35">
      <c r="B23" s="3">
        <v>8</v>
      </c>
      <c r="C23" s="3">
        <v>0</v>
      </c>
      <c r="D23" s="3">
        <v>8</v>
      </c>
      <c r="E23" s="3">
        <v>9</v>
      </c>
      <c r="F23" s="3">
        <v>8</v>
      </c>
      <c r="H23" s="3">
        <v>8</v>
      </c>
      <c r="I23" s="3">
        <v>0</v>
      </c>
      <c r="J23" s="3">
        <v>1.3422799999999999</v>
      </c>
      <c r="K23" s="3">
        <v>1.51515</v>
      </c>
      <c r="L23" s="3">
        <v>1.19225</v>
      </c>
    </row>
    <row r="24" spans="2:12" x14ac:dyDescent="0.35">
      <c r="B24" s="3">
        <v>9</v>
      </c>
      <c r="C24" s="3">
        <v>0</v>
      </c>
      <c r="D24" s="3">
        <v>9</v>
      </c>
      <c r="E24" s="3">
        <v>2</v>
      </c>
      <c r="F24" s="3">
        <v>2</v>
      </c>
      <c r="H24" s="3">
        <v>9</v>
      </c>
      <c r="I24" s="3">
        <v>0</v>
      </c>
      <c r="J24" s="3">
        <v>1.51007</v>
      </c>
      <c r="K24" s="3">
        <v>0.3367</v>
      </c>
      <c r="L24" s="3">
        <v>0.29805999999999999</v>
      </c>
    </row>
    <row r="25" spans="2:12" x14ac:dyDescent="0.35">
      <c r="B25" s="3">
        <v>10</v>
      </c>
      <c r="C25" s="3">
        <v>0</v>
      </c>
      <c r="D25" s="3">
        <v>4</v>
      </c>
      <c r="E25" s="3">
        <v>2</v>
      </c>
      <c r="F25" s="3">
        <v>1</v>
      </c>
      <c r="H25" s="4" t="s">
        <v>5</v>
      </c>
      <c r="I25" s="4">
        <v>0</v>
      </c>
      <c r="J25" s="4">
        <v>1.8456399999999999</v>
      </c>
      <c r="K25" s="4">
        <v>2.3569</v>
      </c>
      <c r="L25" s="4">
        <v>1.9374100000000001</v>
      </c>
    </row>
    <row r="26" spans="2:12" x14ac:dyDescent="0.35">
      <c r="B26" s="3">
        <v>11</v>
      </c>
      <c r="C26" s="3">
        <v>0</v>
      </c>
      <c r="D26" s="3">
        <v>3</v>
      </c>
      <c r="E26" s="3">
        <v>3</v>
      </c>
      <c r="F26" s="3">
        <v>1</v>
      </c>
    </row>
    <row r="27" spans="2:12" x14ac:dyDescent="0.35">
      <c r="B27" s="3">
        <v>12</v>
      </c>
      <c r="C27" s="3">
        <v>0</v>
      </c>
      <c r="D27" s="3">
        <v>1</v>
      </c>
      <c r="E27" s="3">
        <v>2</v>
      </c>
      <c r="F27" s="3">
        <v>3</v>
      </c>
      <c r="H27" t="s">
        <v>7</v>
      </c>
    </row>
    <row r="28" spans="2:12" x14ac:dyDescent="0.35">
      <c r="B28" s="3">
        <v>13</v>
      </c>
      <c r="C28" s="3">
        <v>0</v>
      </c>
      <c r="D28" s="3">
        <v>1</v>
      </c>
      <c r="E28" s="3">
        <v>1</v>
      </c>
      <c r="F28" s="3">
        <v>1</v>
      </c>
    </row>
    <row r="29" spans="2:12" x14ac:dyDescent="0.35">
      <c r="B29" s="3">
        <v>14</v>
      </c>
      <c r="C29" s="3">
        <v>0</v>
      </c>
      <c r="D29" s="3">
        <v>0</v>
      </c>
      <c r="E29" s="3">
        <v>3</v>
      </c>
      <c r="F29" s="3">
        <v>2</v>
      </c>
    </row>
    <row r="30" spans="2:12" x14ac:dyDescent="0.35">
      <c r="B30" s="3">
        <v>15</v>
      </c>
      <c r="C30" s="3">
        <v>0</v>
      </c>
      <c r="D30" s="3">
        <v>1</v>
      </c>
      <c r="E30" s="3">
        <v>1</v>
      </c>
      <c r="F30" s="3">
        <v>0</v>
      </c>
    </row>
    <row r="31" spans="2:12" x14ac:dyDescent="0.35">
      <c r="B31" s="3">
        <v>16</v>
      </c>
      <c r="C31" s="3">
        <v>0</v>
      </c>
      <c r="D31" s="3">
        <v>1</v>
      </c>
      <c r="E31" s="3">
        <v>1</v>
      </c>
      <c r="F31" s="3">
        <v>1</v>
      </c>
    </row>
    <row r="32" spans="2:12" x14ac:dyDescent="0.35">
      <c r="B32" s="3">
        <v>18</v>
      </c>
      <c r="C32" s="3">
        <v>0</v>
      </c>
      <c r="D32" s="3">
        <v>0</v>
      </c>
      <c r="E32" s="3">
        <v>1</v>
      </c>
      <c r="F32" s="3">
        <v>1</v>
      </c>
    </row>
    <row r="33" spans="2:6" x14ac:dyDescent="0.35">
      <c r="B33" s="3">
        <v>20</v>
      </c>
      <c r="C33" s="3">
        <v>0</v>
      </c>
      <c r="D33" s="3">
        <v>0</v>
      </c>
      <c r="E33" s="3">
        <v>0</v>
      </c>
      <c r="F33" s="3">
        <v>1</v>
      </c>
    </row>
    <row r="34" spans="2:6" x14ac:dyDescent="0.35">
      <c r="B34" s="3">
        <v>21</v>
      </c>
      <c r="C34" s="3">
        <v>0</v>
      </c>
      <c r="D34" s="3">
        <v>0</v>
      </c>
      <c r="E34" s="3">
        <v>0</v>
      </c>
      <c r="F34" s="3">
        <v>1</v>
      </c>
    </row>
    <row r="35" spans="2:6" x14ac:dyDescent="0.35">
      <c r="B35" s="3">
        <v>22</v>
      </c>
      <c r="C35" s="3">
        <v>0</v>
      </c>
      <c r="D35" s="3">
        <v>0</v>
      </c>
      <c r="E35" s="3">
        <v>0</v>
      </c>
      <c r="F35" s="3">
        <v>0</v>
      </c>
    </row>
    <row r="36" spans="2:6" x14ac:dyDescent="0.35">
      <c r="B36" s="4">
        <v>23</v>
      </c>
      <c r="C36" s="4">
        <v>0</v>
      </c>
      <c r="D36" s="4">
        <v>0</v>
      </c>
      <c r="E36" s="4">
        <v>0</v>
      </c>
      <c r="F36" s="4">
        <v>1</v>
      </c>
    </row>
    <row r="37" spans="2:6" x14ac:dyDescent="0.35">
      <c r="B37" s="7" t="s">
        <v>11</v>
      </c>
      <c r="C37">
        <f>SUM(C15:C36)</f>
        <v>660</v>
      </c>
      <c r="D37">
        <f t="shared" ref="D37:F37" si="0">SUM(D15:D36)</f>
        <v>596</v>
      </c>
      <c r="E37">
        <f t="shared" si="0"/>
        <v>594</v>
      </c>
      <c r="F37">
        <f t="shared" si="0"/>
        <v>671</v>
      </c>
    </row>
    <row r="38" spans="2:6" x14ac:dyDescent="0.35">
      <c r="B38" s="7" t="s">
        <v>9</v>
      </c>
      <c r="C38">
        <f>SUMPRODUCT(B15:B36,C15:C36)/C37</f>
        <v>2.2727272727272728E-2</v>
      </c>
      <c r="D38">
        <f>SUMPRODUCT(B15:B36,D15:D36)/D37</f>
        <v>2.0570469798657718</v>
      </c>
      <c r="E38">
        <f>SUMPRODUCT(B15:B36,E15:E36)/E37</f>
        <v>2.1010101010101012</v>
      </c>
      <c r="F38">
        <f>SUMPRODUCT(B15:B36,F15:F36)/F37</f>
        <v>1.8822652757078986</v>
      </c>
    </row>
    <row r="39" spans="2:6" x14ac:dyDescent="0.35">
      <c r="B39" s="7" t="s">
        <v>10</v>
      </c>
      <c r="C39" cm="1">
        <f t="array" ref="C39">SQRT(SUMPRODUCT(C15:C36,($B$15:$B$36-C38)^2)/(C37*(C37-1)))</f>
        <v>6.549838101331625E-3</v>
      </c>
      <c r="D39" cm="1">
        <f t="array" ref="D39">SQRT(SUMPRODUCT(D15:D36,($B$15:$B$36-D38)^2)/(D37*(D37-1)))</f>
        <v>0.10214633627080554</v>
      </c>
      <c r="E39" cm="1">
        <f t="array" ref="E39">SQRT(SUMPRODUCT(E15:E36,($B$15:$B$36-E38)^2)/(E37*(E37-1)))</f>
        <v>0.10746490715554102</v>
      </c>
      <c r="F39" cm="1">
        <f t="array" ref="F39">SQRT(SUMPRODUCT(F15:F36,($B$15:$B$36-F38)^2)/(F37*(F37-1)))</f>
        <v>0.10399090797464217</v>
      </c>
    </row>
  </sheetData>
  <mergeCells count="4">
    <mergeCell ref="B13:B14"/>
    <mergeCell ref="C13:F13"/>
    <mergeCell ref="I13:L13"/>
    <mergeCell ref="H13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2026-08-14T01:55:42Z</dcterms:created>
  <dcterms:modified xsi:type="dcterms:W3CDTF">2026-08-14T03:02:59Z</dcterms:modified>
</cp:coreProperties>
</file>